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dffd931b250f8b/Documentos/Estudos - Cursos Online/"/>
    </mc:Choice>
  </mc:AlternateContent>
  <xr:revisionPtr revIDLastSave="168" documentId="8_{00A31058-0D7A-4982-860E-FDA8163A2AC3}" xr6:coauthVersionLast="47" xr6:coauthVersionMax="47" xr10:uidLastSave="{45096F05-7F37-4A37-B25F-EF8B7BCEED5F}"/>
  <bookViews>
    <workbookView xWindow="-108" yWindow="-108" windowWidth="23256" windowHeight="12456" activeTab="2" xr2:uid="{0CEEF3BC-F8AE-4514-BF9E-BE104F46E247}"/>
  </bookViews>
  <sheets>
    <sheet name="Simulador" sheetId="1" r:id="rId1"/>
    <sheet name="Investidor" sheetId="2" r:id="rId2"/>
    <sheet name="Dados " sheetId="3" r:id="rId3"/>
  </sheets>
  <definedNames>
    <definedName name="aporte">Simulador!$D$17</definedName>
    <definedName name="Aporte_mensal">Simulador!$C$18</definedName>
    <definedName name="Rendimento">Simulador!$D$12</definedName>
    <definedName name="rendimento_carteira">Simulador!#REF!</definedName>
    <definedName name="Taxa">Simulador!$C$19</definedName>
    <definedName name="Tempo">Simulador!$C$22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  <c r="D28" i="1"/>
  <c r="D27" i="1"/>
  <c r="D26" i="1"/>
  <c r="D25" i="1"/>
  <c r="C36" i="1"/>
  <c r="C37" i="1"/>
  <c r="C38" i="1"/>
  <c r="C39" i="1"/>
  <c r="C40" i="1"/>
  <c r="C35" i="1"/>
  <c r="G3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D13" i="1" l="1"/>
  <c r="C18" i="1" s="1"/>
  <c r="C32" i="1" l="1"/>
  <c r="D39" i="1" s="1"/>
  <c r="C25" i="1"/>
  <c r="C26" i="1"/>
  <c r="C27" i="1"/>
  <c r="C28" i="1"/>
  <c r="C21" i="1"/>
  <c r="C20" i="1" s="1"/>
  <c r="C29" i="1"/>
  <c r="D38" i="1" l="1"/>
  <c r="D36" i="1"/>
  <c r="D40" i="1"/>
  <c r="D35" i="1"/>
  <c r="D37" i="1"/>
  <c r="D41" i="1" l="1"/>
</calcChain>
</file>

<file path=xl/sharedStrings.xml><?xml version="1.0" encoding="utf-8"?>
<sst xmlns="http://schemas.openxmlformats.org/spreadsheetml/2006/main" count="91" uniqueCount="52">
  <si>
    <t xml:space="preserve">APORTE INICIAL </t>
  </si>
  <si>
    <t xml:space="preserve">APORTE MENSAL </t>
  </si>
  <si>
    <t xml:space="preserve">VALOR DA COTA </t>
  </si>
  <si>
    <t xml:space="preserve">TEMPO </t>
  </si>
  <si>
    <t>Salário</t>
  </si>
  <si>
    <t>Rendimento Carteira</t>
  </si>
  <si>
    <t>Sugestão de Investimento (30%)</t>
  </si>
  <si>
    <t xml:space="preserve">TABELA DE RENDIMENTOS </t>
  </si>
  <si>
    <t>Dividendo</t>
  </si>
  <si>
    <t xml:space="preserve">Crescimento Patrimonial </t>
  </si>
  <si>
    <t xml:space="preserve">2 anos </t>
  </si>
  <si>
    <t xml:space="preserve">5 anos </t>
  </si>
  <si>
    <t xml:space="preserve">10 anos </t>
  </si>
  <si>
    <t xml:space="preserve">20 anos </t>
  </si>
  <si>
    <t xml:space="preserve">30 anos </t>
  </si>
  <si>
    <t>PERFIL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</si>
  <si>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</si>
  <si>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</si>
  <si>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</si>
  <si>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</si>
  <si>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</si>
  <si>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</si>
  <si>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</si>
  <si>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</si>
  <si>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</si>
  <si>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</si>
  <si>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</si>
  <si>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</si>
  <si>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%</t>
  </si>
  <si>
    <t>Conservador</t>
  </si>
  <si>
    <t>Agressivo</t>
  </si>
  <si>
    <t xml:space="preserve">DIVIDENDOS MENSAIS </t>
  </si>
  <si>
    <t xml:space="preserve">TAXA DE RENDIMENTO </t>
  </si>
  <si>
    <t xml:space="preserve">Simulador de Investimento em Fundos Imobiliários (FIIs) </t>
  </si>
  <si>
    <t xml:space="preserve">Este projeto foi desenvolvido como parte de um desafio da Dio. </t>
  </si>
  <si>
    <t xml:space="preserve">Com o objetivo de criar uma ferramenta prática que auxilie um investidor a simular seu plano de investimento e patrimônio. </t>
  </si>
  <si>
    <t xml:space="preserve">A planilha permite: </t>
  </si>
  <si>
    <t xml:space="preserve">1. </t>
  </si>
  <si>
    <t xml:space="preserve">Simular o Patrimônio - Projeção de valor futuro através da Formuça (VF) </t>
  </si>
  <si>
    <t>2.</t>
  </si>
  <si>
    <t>Calcular o lucro real - diferenciar entre capital investido e os juros acumulados ]</t>
  </si>
  <si>
    <t xml:space="preserve">3. </t>
  </si>
  <si>
    <t xml:space="preserve">Análise a longo prazo - utilizando tabela comparativa de rendimentos (períodos anuais) </t>
  </si>
  <si>
    <t xml:space="preserve">Como utilizá-la </t>
  </si>
  <si>
    <t>1.</t>
  </si>
  <si>
    <t>3.</t>
  </si>
  <si>
    <t xml:space="preserve">Insira o valor inicial (investimento) </t>
  </si>
  <si>
    <t xml:space="preserve">Definir o aporte (quanto poupar por mês) </t>
  </si>
  <si>
    <t xml:space="preserve">Informar a taxa de rendimentos (mensal) </t>
  </si>
  <si>
    <t xml:space="preserve">Desenvolvido por: </t>
  </si>
  <si>
    <t xml:space="preserve">Simone Daloz </t>
  </si>
  <si>
    <t xml:space="preserve">linkedin/simonedaloz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</si>
</sst>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8" formatCode="&quot;R$&quot;\ 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Segoe UI"/>
      <family val="2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</cellStyleXfs>
  <cellXfs count="6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168" fontId="5" fillId="5" borderId="6" xfId="0" applyNumberFormat="1" applyFont="1" applyFill="1" applyBorder="1" applyAlignment="1">
      <alignment horizontal="center"/>
    </xf>
    <xf numFmtId="168" fontId="5" fillId="5" borderId="7" xfId="0" applyNumberFormat="1" applyFont="1" applyFill="1" applyBorder="1" applyAlignment="1">
      <alignment horizontal="center"/>
    </xf>
    <xf numFmtId="168" fontId="5" fillId="5" borderId="9" xfId="0" applyNumberFormat="1" applyFont="1" applyFill="1" applyBorder="1" applyAlignment="1">
      <alignment horizontal="center"/>
    </xf>
    <xf numFmtId="168" fontId="5" fillId="5" borderId="11" xfId="0" applyNumberFormat="1" applyFont="1" applyFill="1" applyBorder="1" applyAlignment="1">
      <alignment horizontal="center"/>
    </xf>
    <xf numFmtId="0" fontId="3" fillId="0" borderId="0" xfId="0" applyFont="1"/>
    <xf numFmtId="168" fontId="5" fillId="5" borderId="13" xfId="0" applyNumberFormat="1" applyFont="1" applyFill="1" applyBorder="1" applyAlignment="1">
      <alignment horizontal="center"/>
    </xf>
    <xf numFmtId="0" fontId="4" fillId="5" borderId="1" xfId="0" applyFont="1" applyFill="1" applyBorder="1"/>
    <xf numFmtId="0" fontId="0" fillId="5" borderId="1" xfId="0" applyFont="1" applyFill="1" applyBorder="1" applyAlignment="1">
      <alignment horizontal="center"/>
    </xf>
    <xf numFmtId="10" fontId="0" fillId="5" borderId="1" xfId="2" applyNumberFormat="1" applyFont="1" applyFill="1" applyBorder="1"/>
    <xf numFmtId="0" fontId="0" fillId="5" borderId="0" xfId="0" applyFill="1" applyBorder="1"/>
    <xf numFmtId="0" fontId="0" fillId="5" borderId="17" xfId="0" applyFill="1" applyBorder="1"/>
    <xf numFmtId="9" fontId="0" fillId="5" borderId="15" xfId="2" applyNumberFormat="1" applyFont="1" applyFill="1" applyBorder="1" applyAlignment="1">
      <alignment vertical="center"/>
    </xf>
    <xf numFmtId="168" fontId="0" fillId="5" borderId="15" xfId="1" applyNumberFormat="1" applyFont="1" applyFill="1" applyBorder="1"/>
    <xf numFmtId="168" fontId="0" fillId="5" borderId="18" xfId="1" applyNumberFormat="1" applyFont="1" applyFill="1" applyBorder="1"/>
    <xf numFmtId="168" fontId="0" fillId="5" borderId="1" xfId="1" applyNumberFormat="1" applyFont="1" applyFill="1" applyBorder="1"/>
    <xf numFmtId="0" fontId="4" fillId="5" borderId="14" xfId="0" applyFont="1" applyFill="1" applyBorder="1"/>
    <xf numFmtId="0" fontId="4" fillId="5" borderId="16" xfId="0" applyFont="1" applyFill="1" applyBorder="1"/>
    <xf numFmtId="0" fontId="4" fillId="5" borderId="5" xfId="0" applyFont="1" applyFill="1" applyBorder="1" applyAlignment="1">
      <alignment horizontal="left" indent="3"/>
    </xf>
    <xf numFmtId="0" fontId="4" fillId="5" borderId="8" xfId="0" applyFont="1" applyFill="1" applyBorder="1" applyAlignment="1">
      <alignment horizontal="left" indent="3"/>
    </xf>
    <xf numFmtId="0" fontId="4" fillId="5" borderId="10" xfId="0" applyFont="1" applyFill="1" applyBorder="1" applyAlignment="1">
      <alignment horizontal="left" indent="3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68" fontId="0" fillId="4" borderId="0" xfId="0" applyNumberFormat="1" applyFill="1" applyAlignment="1">
      <alignment horizontal="center"/>
    </xf>
    <xf numFmtId="0" fontId="6" fillId="6" borderId="19" xfId="0" applyFont="1" applyFill="1" applyBorder="1"/>
    <xf numFmtId="0" fontId="7" fillId="6" borderId="20" xfId="0" applyFont="1" applyFill="1" applyBorder="1"/>
    <xf numFmtId="0" fontId="7" fillId="6" borderId="21" xfId="0" applyFont="1" applyFill="1" applyBorder="1"/>
    <xf numFmtId="0" fontId="8" fillId="0" borderId="0" xfId="0" applyFont="1"/>
    <xf numFmtId="0" fontId="9" fillId="0" borderId="0" xfId="0" applyFont="1" applyAlignment="1">
      <alignment horizontal="left" vertical="center" indent="1"/>
    </xf>
    <xf numFmtId="0" fontId="9" fillId="0" borderId="0" xfId="0" applyFont="1"/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6" fillId="6" borderId="16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8" fontId="8" fillId="0" borderId="0" xfId="0" applyNumberFormat="1" applyFont="1"/>
    <xf numFmtId="0" fontId="6" fillId="6" borderId="2" xfId="0" applyFont="1" applyFill="1" applyBorder="1" applyAlignment="1">
      <alignment horizontal="center" vertical="center"/>
    </xf>
    <xf numFmtId="0" fontId="3" fillId="2" borderId="0" xfId="3" applyAlignment="1">
      <alignment horizontal="center"/>
    </xf>
    <xf numFmtId="0" fontId="3" fillId="3" borderId="0" xfId="4"/>
    <xf numFmtId="168" fontId="3" fillId="3" borderId="0" xfId="4" applyNumberFormat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0" xfId="0" applyFill="1"/>
    <xf numFmtId="0" fontId="3" fillId="2" borderId="2" xfId="3" applyBorder="1"/>
    <xf numFmtId="0" fontId="3" fillId="2" borderId="3" xfId="3" applyBorder="1"/>
    <xf numFmtId="0" fontId="3" fillId="2" borderId="3" xfId="3" applyBorder="1" applyAlignment="1">
      <alignment horizontal="center"/>
    </xf>
    <xf numFmtId="0" fontId="3" fillId="2" borderId="4" xfId="3" applyBorder="1" applyAlignment="1">
      <alignment horizontal="center"/>
    </xf>
    <xf numFmtId="0" fontId="0" fillId="0" borderId="14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9" fontId="0" fillId="0" borderId="15" xfId="0" applyNumberFormat="1" applyBorder="1" applyAlignment="1">
      <alignment horizontal="center"/>
    </xf>
    <xf numFmtId="0" fontId="0" fillId="0" borderId="16" xfId="0" applyBorder="1"/>
    <xf numFmtId="9" fontId="0" fillId="0" borderId="18" xfId="0" applyNumberFormat="1" applyBorder="1" applyAlignment="1">
      <alignment horizontal="center"/>
    </xf>
    <xf numFmtId="0" fontId="0" fillId="0" borderId="14" xfId="0" applyFill="1" applyBorder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9" fontId="0" fillId="0" borderId="15" xfId="0" applyNumberFormat="1" applyFill="1" applyBorder="1" applyAlignment="1">
      <alignment horizontal="center"/>
    </xf>
    <xf numFmtId="0" fontId="7" fillId="2" borderId="19" xfId="3" applyFont="1" applyBorder="1"/>
    <xf numFmtId="9" fontId="7" fillId="2" borderId="12" xfId="3" applyNumberFormat="1" applyFont="1" applyBorder="1"/>
    <xf numFmtId="0" fontId="2" fillId="4" borderId="16" xfId="0" applyFont="1" applyFill="1" applyBorder="1"/>
    <xf numFmtId="168" fontId="2" fillId="4" borderId="18" xfId="1" applyNumberFormat="1" applyFont="1" applyFill="1" applyBorder="1" applyAlignment="1">
      <alignment horizontal="center"/>
    </xf>
    <xf numFmtId="168" fontId="2" fillId="5" borderId="1" xfId="1" applyNumberFormat="1" applyFont="1" applyFill="1" applyBorder="1" applyAlignment="1">
      <alignment horizontal="right"/>
    </xf>
    <xf numFmtId="168" fontId="0" fillId="5" borderId="1" xfId="2" applyNumberFormat="1" applyFont="1" applyFill="1" applyBorder="1"/>
  </cellXfs>
  <cellStyles count="5">
    <cellStyle name="Ênfase1" xfId="3" builtinId="29"/>
    <cellStyle name="Ênfase2" xfId="4" builtinId="33"/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1</xdr:row>
      <xdr:rowOff>22860</xdr:rowOff>
    </xdr:from>
    <xdr:to>
      <xdr:col>5</xdr:col>
      <xdr:colOff>601980</xdr:colOff>
      <xdr:row>6</xdr:row>
      <xdr:rowOff>99060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284D8DDD-6C86-C428-C5E4-8F8818833DB4}"/>
            </a:ext>
          </a:extLst>
        </xdr:cNvPr>
        <xdr:cNvSpPr/>
      </xdr:nvSpPr>
      <xdr:spPr>
        <a:xfrm>
          <a:off x="53340" y="205740"/>
          <a:ext cx="3596640" cy="9906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160021</xdr:colOff>
      <xdr:row>1</xdr:row>
      <xdr:rowOff>75850</xdr:rowOff>
    </xdr:from>
    <xdr:to>
      <xdr:col>5</xdr:col>
      <xdr:colOff>556260</xdr:colOff>
      <xdr:row>6</xdr:row>
      <xdr:rowOff>60959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2017A822-2D63-4B3E-C68B-4A2E4D27E075}"/>
            </a:ext>
          </a:extLst>
        </xdr:cNvPr>
        <xdr:cNvGrpSpPr/>
      </xdr:nvGrpSpPr>
      <xdr:grpSpPr>
        <a:xfrm>
          <a:off x="160021" y="258730"/>
          <a:ext cx="7269479" cy="899509"/>
          <a:chOff x="2834641" y="411130"/>
          <a:chExt cx="3444239" cy="899509"/>
        </a:xfrm>
      </xdr:grpSpPr>
      <xdr:pic>
        <xdr:nvPicPr>
          <xdr:cNvPr id="4" name="Imagem 3" descr="Foto em close de dados de gráfico coloridos">
            <a:extLst>
              <a:ext uri="{FF2B5EF4-FFF2-40B4-BE49-F238E27FC236}">
                <a16:creationId xmlns:a16="http://schemas.microsoft.com/office/drawing/2014/main" id="{D30B54D6-E64E-9F2A-7158-9FC4F99717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34641" y="411130"/>
            <a:ext cx="1348740" cy="899509"/>
          </a:xfrm>
          <a:prstGeom prst="rect">
            <a:avLst/>
          </a:prstGeom>
          <a:ln>
            <a:noFill/>
          </a:ln>
          <a:effectLst>
            <a:outerShdw blurRad="292100" dist="139700" dir="2700000" algn="tl" rotWithShape="0">
              <a:srgbClr val="333333">
                <a:alpha val="65000"/>
              </a:srgbClr>
            </a:outerShdw>
          </a:effectLst>
        </xdr:spPr>
      </xdr:pic>
      <xdr:sp macro="" textlink="">
        <xdr:nvSpPr>
          <xdr:cNvPr id="6" name="CaixaDeTexto 5">
            <a:extLst>
              <a:ext uri="{FF2B5EF4-FFF2-40B4-BE49-F238E27FC236}">
                <a16:creationId xmlns:a16="http://schemas.microsoft.com/office/drawing/2014/main" id="{7DFDA9A8-A177-1A19-CB7B-90888144B3CD}"/>
              </a:ext>
            </a:extLst>
          </xdr:cNvPr>
          <xdr:cNvSpPr txBox="1"/>
        </xdr:nvSpPr>
        <xdr:spPr>
          <a:xfrm>
            <a:off x="4175760" y="449580"/>
            <a:ext cx="2103120" cy="8534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2000" b="1" i="1">
                <a:solidFill>
                  <a:schemeClr val="tx2">
                    <a:lumMod val="10000"/>
                    <a:lumOff val="90000"/>
                  </a:schemeClr>
                </a:solidFill>
              </a:rPr>
              <a:t>INVESTMENTOS</a:t>
            </a:r>
            <a:r>
              <a:rPr lang="pt-BR" sz="2000" b="1" i="1" baseline="0">
                <a:solidFill>
                  <a:schemeClr val="tx2">
                    <a:lumMod val="10000"/>
                    <a:lumOff val="90000"/>
                  </a:schemeClr>
                </a:solidFill>
              </a:rPr>
              <a:t> IMOBILIÁRIOS </a:t>
            </a:r>
            <a:endParaRPr lang="pt-BR" sz="2000" b="1" i="1">
              <a:solidFill>
                <a:schemeClr val="tx2">
                  <a:lumMod val="10000"/>
                  <a:lumOff val="90000"/>
                </a:schemeClr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54BFC-17DC-4E93-979B-ECB14C43A862}">
  <dimension ref="A5:K41"/>
  <sheetViews>
    <sheetView showGridLines="0" zoomScaleNormal="100" workbookViewId="0">
      <selection activeCell="F15" sqref="F15"/>
    </sheetView>
  </sheetViews>
  <sheetFormatPr defaultColWidth="0" defaultRowHeight="14.4" x14ac:dyDescent="0.3"/>
  <cols>
    <col min="1" max="1" width="3" bestFit="1" customWidth="1"/>
    <col min="2" max="2" width="29.21875" bestFit="1" customWidth="1"/>
    <col min="3" max="3" width="28.77734375" bestFit="1" customWidth="1"/>
    <col min="4" max="4" width="12.5546875" bestFit="1" customWidth="1"/>
    <col min="5" max="5" width="26.6640625" bestFit="1" customWidth="1"/>
    <col min="6" max="6" width="8.88671875" customWidth="1"/>
    <col min="7" max="7" width="11.88671875" bestFit="1" customWidth="1"/>
    <col min="8" max="8" width="8.88671875" customWidth="1"/>
    <col min="12" max="16384" width="8.88671875" hidden="1"/>
  </cols>
  <sheetData>
    <row r="5" spans="2:11" x14ac:dyDescent="0.3">
      <c r="K5" s="1"/>
    </row>
    <row r="7" spans="2:11" x14ac:dyDescent="0.3">
      <c r="K7" s="1"/>
    </row>
    <row r="9" spans="2:11" ht="15" thickBot="1" x14ac:dyDescent="0.35">
      <c r="I9" s="3"/>
    </row>
    <row r="10" spans="2:11" s="30" customFormat="1" ht="16.2" thickBot="1" x14ac:dyDescent="0.35">
      <c r="B10" s="27" t="s">
        <v>5</v>
      </c>
      <c r="C10" s="28"/>
      <c r="D10" s="29"/>
      <c r="I10" s="31"/>
      <c r="K10" s="32"/>
    </row>
    <row r="11" spans="2:11" x14ac:dyDescent="0.3">
      <c r="B11" s="19" t="s">
        <v>4</v>
      </c>
      <c r="C11" s="13"/>
      <c r="D11" s="16">
        <v>4200</v>
      </c>
      <c r="I11" s="3"/>
    </row>
    <row r="12" spans="2:11" x14ac:dyDescent="0.3">
      <c r="B12" s="19" t="s">
        <v>5</v>
      </c>
      <c r="C12" s="13"/>
      <c r="D12" s="15">
        <v>0.01</v>
      </c>
      <c r="G12" s="1"/>
      <c r="I12" s="2"/>
      <c r="K12" s="1"/>
    </row>
    <row r="13" spans="2:11" ht="15" thickBot="1" x14ac:dyDescent="0.35">
      <c r="B13" s="20" t="s">
        <v>6</v>
      </c>
      <c r="C13" s="14"/>
      <c r="D13" s="17">
        <f>D11*30%</f>
        <v>1260</v>
      </c>
      <c r="I13" s="3"/>
    </row>
    <row r="14" spans="2:11" ht="15" thickBot="1" x14ac:dyDescent="0.35">
      <c r="I14" s="2"/>
    </row>
    <row r="15" spans="2:11" s="30" customFormat="1" ht="15.6" x14ac:dyDescent="0.3">
      <c r="B15" s="33" t="s">
        <v>7</v>
      </c>
      <c r="C15" s="34"/>
      <c r="I15" s="35"/>
    </row>
    <row r="16" spans="2:11" s="30" customFormat="1" ht="16.2" thickBot="1" x14ac:dyDescent="0.35">
      <c r="B16" s="36"/>
      <c r="C16" s="37"/>
      <c r="H16" s="38"/>
      <c r="I16" s="31"/>
      <c r="K16" s="31"/>
    </row>
    <row r="17" spans="1:4" x14ac:dyDescent="0.3">
      <c r="A17" s="8">
        <v>2</v>
      </c>
      <c r="B17" s="10" t="s">
        <v>0</v>
      </c>
      <c r="C17" s="18">
        <v>2000</v>
      </c>
    </row>
    <row r="18" spans="1:4" x14ac:dyDescent="0.3">
      <c r="A18" s="8">
        <v>5</v>
      </c>
      <c r="B18" s="10" t="s">
        <v>1</v>
      </c>
      <c r="C18" s="18">
        <f>D13</f>
        <v>1260</v>
      </c>
    </row>
    <row r="19" spans="1:4" x14ac:dyDescent="0.3">
      <c r="A19" s="8">
        <v>10</v>
      </c>
      <c r="B19" s="10" t="s">
        <v>32</v>
      </c>
      <c r="C19" s="12">
        <v>1.0789999999999999E-2</v>
      </c>
    </row>
    <row r="20" spans="1:4" x14ac:dyDescent="0.3">
      <c r="A20" s="8">
        <v>20</v>
      </c>
      <c r="B20" s="10" t="s">
        <v>31</v>
      </c>
      <c r="C20" s="65">
        <f>C21*Taxa</f>
        <v>3307.5461830327026</v>
      </c>
    </row>
    <row r="21" spans="1:4" x14ac:dyDescent="0.3">
      <c r="A21" s="8">
        <v>30</v>
      </c>
      <c r="B21" s="10" t="s">
        <v>2</v>
      </c>
      <c r="C21" s="64">
        <f>FV(C19,C22*12,C18*-1)</f>
        <v>306538.10778801696</v>
      </c>
    </row>
    <row r="22" spans="1:4" x14ac:dyDescent="0.3">
      <c r="B22" s="10" t="s">
        <v>3</v>
      </c>
      <c r="C22" s="11">
        <v>10</v>
      </c>
    </row>
    <row r="23" spans="1:4" s="30" customFormat="1" ht="16.2" thickBot="1" x14ac:dyDescent="0.35">
      <c r="B23"/>
      <c r="C23"/>
    </row>
    <row r="24" spans="1:4" ht="15.6" x14ac:dyDescent="0.3">
      <c r="B24" s="33" t="s">
        <v>9</v>
      </c>
      <c r="C24" s="34"/>
      <c r="D24" s="39" t="s">
        <v>8</v>
      </c>
    </row>
    <row r="25" spans="1:4" ht="16.8" x14ac:dyDescent="0.4">
      <c r="B25" s="21" t="s">
        <v>10</v>
      </c>
      <c r="C25" s="4">
        <f>FV($C$19,A17*12,$C$18*-1)</f>
        <v>34306.810395032975</v>
      </c>
      <c r="D25" s="5">
        <f>C25*Taxa</f>
        <v>370.17048416240578</v>
      </c>
    </row>
    <row r="26" spans="1:4" ht="16.8" x14ac:dyDescent="0.4">
      <c r="B26" s="22" t="s">
        <v>11</v>
      </c>
      <c r="C26" s="4">
        <f>FV($C$19,A$18*12,C18*-1)</f>
        <v>105558.91163809443</v>
      </c>
      <c r="D26" s="6">
        <f>C26*Taxa</f>
        <v>1138.9806565750389</v>
      </c>
    </row>
    <row r="27" spans="1:4" ht="16.8" x14ac:dyDescent="0.4">
      <c r="B27" s="22" t="s">
        <v>12</v>
      </c>
      <c r="C27" s="4">
        <f>FV(C19,A19*12,C18*-1)</f>
        <v>306538.10778801696</v>
      </c>
      <c r="D27" s="6">
        <f>C27*Taxa</f>
        <v>3307.5461830327026</v>
      </c>
    </row>
    <row r="28" spans="1:4" ht="16.8" x14ac:dyDescent="0.4">
      <c r="B28" s="22" t="s">
        <v>13</v>
      </c>
      <c r="C28" s="4">
        <f>FV(C19,A20*12,C18*-1)</f>
        <v>1417749.9841223215</v>
      </c>
      <c r="D28" s="6">
        <f>C28*Taxa</f>
        <v>15297.522328679848</v>
      </c>
    </row>
    <row r="29" spans="1:4" ht="17.399999999999999" thickBot="1" x14ac:dyDescent="0.45">
      <c r="B29" s="23" t="s">
        <v>14</v>
      </c>
      <c r="C29" s="9">
        <f>FV(C19,A21*12,C18*-1)</f>
        <v>5445933.7653059401</v>
      </c>
      <c r="D29" s="7">
        <f>C29*Taxa</f>
        <v>58761.625327651091</v>
      </c>
    </row>
    <row r="30" spans="1:4" ht="15" thickBot="1" x14ac:dyDescent="0.35"/>
    <row r="31" spans="1:4" x14ac:dyDescent="0.3">
      <c r="B31" s="46" t="s">
        <v>15</v>
      </c>
      <c r="C31" s="49" t="s">
        <v>16</v>
      </c>
    </row>
    <row r="32" spans="1:4" ht="15" thickBot="1" x14ac:dyDescent="0.35">
      <c r="B32" s="62" t="s">
        <v>17</v>
      </c>
      <c r="C32" s="63">
        <f>Aporte_mensal</f>
        <v>1260</v>
      </c>
    </row>
    <row r="34" spans="2:4" x14ac:dyDescent="0.3">
      <c r="B34" s="40" t="s">
        <v>18</v>
      </c>
      <c r="C34" s="40" t="s">
        <v>19</v>
      </c>
      <c r="D34" s="40" t="s">
        <v>20</v>
      </c>
    </row>
    <row r="35" spans="2:4" x14ac:dyDescent="0.3">
      <c r="B35" s="24" t="s">
        <v>21</v>
      </c>
      <c r="C35" s="25">
        <f>VLOOKUP($C$31&amp;"-"&amp;B35,Investidor!A2:D20,4,FALSE)</f>
        <v>0.32</v>
      </c>
      <c r="D35" s="26">
        <f>C35*$C$32</f>
        <v>403.2</v>
      </c>
    </row>
    <row r="36" spans="2:4" x14ac:dyDescent="0.3">
      <c r="B36" s="24" t="s">
        <v>22</v>
      </c>
      <c r="C36" s="25">
        <f>VLOOKUP($C$31&amp;"-"&amp;B36,Investidor!A3:D21,4,FALSE)</f>
        <v>0.35</v>
      </c>
      <c r="D36" s="26">
        <f>C36*$C$32</f>
        <v>441</v>
      </c>
    </row>
    <row r="37" spans="2:4" x14ac:dyDescent="0.3">
      <c r="B37" s="24" t="s">
        <v>23</v>
      </c>
      <c r="C37" s="25">
        <f>VLOOKUP($C$31&amp;"-"&amp;B37,Investidor!A4:D22,4,FALSE)</f>
        <v>0.08</v>
      </c>
      <c r="D37" s="26">
        <f>C37*$C$32</f>
        <v>100.8</v>
      </c>
    </row>
    <row r="38" spans="2:4" x14ac:dyDescent="0.3">
      <c r="B38" s="24" t="s">
        <v>24</v>
      </c>
      <c r="C38" s="25">
        <f>VLOOKUP($C$31&amp;"-"&amp;B38,Investidor!A5:D23,4,FALSE)</f>
        <v>0.05</v>
      </c>
      <c r="D38" s="26">
        <f>C38*$C$32</f>
        <v>63</v>
      </c>
    </row>
    <row r="39" spans="2:4" x14ac:dyDescent="0.3">
      <c r="B39" s="24" t="s">
        <v>25</v>
      </c>
      <c r="C39" s="25">
        <f>VLOOKUP($C$31&amp;"-"&amp;B39,Investidor!A6:D24,4,FALSE)</f>
        <v>0.1</v>
      </c>
      <c r="D39" s="26">
        <f>C39*$C$32</f>
        <v>126</v>
      </c>
    </row>
    <row r="40" spans="2:4" x14ac:dyDescent="0.3">
      <c r="B40" s="24" t="s">
        <v>26</v>
      </c>
      <c r="C40" s="25">
        <f>VLOOKUP($C$31&amp;"-"&amp;B40,Investidor!A7:D25,4,FALSE)</f>
        <v>0.1</v>
      </c>
      <c r="D40" s="26">
        <f>C40*$C$32</f>
        <v>126</v>
      </c>
    </row>
    <row r="41" spans="2:4" x14ac:dyDescent="0.3">
      <c r="B41" s="41"/>
      <c r="C41" s="41"/>
      <c r="D41" s="42">
        <f>SUM(D35:D40)</f>
        <v>1260</v>
      </c>
    </row>
  </sheetData>
  <mergeCells count="2">
    <mergeCell ref="B15:C16"/>
    <mergeCell ref="B24:C24"/>
  </mergeCells>
  <dataValidations disablePrompts="1" count="1">
    <dataValidation type="list" allowBlank="1" showInputMessage="1" showErrorMessage="1" sqref="C31" xr:uid="{E341C11F-5955-4D5F-BA99-D61349AC3627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84E07-2CED-43C3-9476-4B8E6E7D2586}">
  <dimension ref="A1:H20"/>
  <sheetViews>
    <sheetView workbookViewId="0">
      <selection activeCell="F13" sqref="F13"/>
    </sheetView>
  </sheetViews>
  <sheetFormatPr defaultRowHeight="14.4" x14ac:dyDescent="0.3"/>
  <cols>
    <col min="1" max="1" width="28.77734375" bestFit="1" customWidth="1"/>
    <col min="2" max="2" width="11.21875" bestFit="1" customWidth="1"/>
    <col min="3" max="3" width="17.6640625" bestFit="1" customWidth="1"/>
    <col min="4" max="4" width="12.88671875" customWidth="1"/>
    <col min="6" max="6" width="19" bestFit="1" customWidth="1"/>
    <col min="7" max="7" width="15.21875" customWidth="1"/>
    <col min="8" max="8" width="5" customWidth="1"/>
  </cols>
  <sheetData>
    <row r="1" spans="1:8" ht="15" thickBot="1" x14ac:dyDescent="0.35"/>
    <row r="2" spans="1:8" ht="15" thickBot="1" x14ac:dyDescent="0.35">
      <c r="A2" s="46" t="s">
        <v>27</v>
      </c>
      <c r="B2" s="47" t="s">
        <v>15</v>
      </c>
      <c r="C2" s="48" t="s">
        <v>18</v>
      </c>
      <c r="D2" s="49" t="s">
        <v>28</v>
      </c>
    </row>
    <row r="3" spans="1:8" ht="16.2" thickBot="1" x14ac:dyDescent="0.35">
      <c r="A3" s="50" t="str">
        <f>B3&amp;"-"&amp;C3</f>
        <v>Conservador-PAPEL</v>
      </c>
      <c r="B3" s="51" t="s">
        <v>29</v>
      </c>
      <c r="C3" s="52" t="s">
        <v>21</v>
      </c>
      <c r="D3" s="53">
        <v>0.3</v>
      </c>
      <c r="F3" s="60"/>
      <c r="G3" s="61" t="e">
        <f>VLOOKUP(F3,A2:D20,4,FALSE)</f>
        <v>#N/A</v>
      </c>
      <c r="H3" s="30" t="s">
        <v>28</v>
      </c>
    </row>
    <row r="4" spans="1:8" x14ac:dyDescent="0.3">
      <c r="A4" s="50" t="str">
        <f t="shared" ref="A4:A20" si="0">B4&amp;"-"&amp;C4</f>
        <v>Conservador-TIJOLO</v>
      </c>
      <c r="B4" s="51" t="s">
        <v>29</v>
      </c>
      <c r="C4" s="52" t="s">
        <v>22</v>
      </c>
      <c r="D4" s="53">
        <v>0.5</v>
      </c>
    </row>
    <row r="5" spans="1:8" x14ac:dyDescent="0.3">
      <c r="A5" s="50" t="str">
        <f t="shared" si="0"/>
        <v>Conservador-HÍBRIDOS</v>
      </c>
      <c r="B5" s="51" t="s">
        <v>29</v>
      </c>
      <c r="C5" s="52" t="s">
        <v>23</v>
      </c>
      <c r="D5" s="53">
        <v>0.1</v>
      </c>
    </row>
    <row r="6" spans="1:8" x14ac:dyDescent="0.3">
      <c r="A6" s="50" t="str">
        <f t="shared" si="0"/>
        <v>Conservador-FOFs</v>
      </c>
      <c r="B6" s="51" t="s">
        <v>29</v>
      </c>
      <c r="C6" s="52" t="s">
        <v>24</v>
      </c>
      <c r="D6" s="53">
        <v>0.1</v>
      </c>
    </row>
    <row r="7" spans="1:8" x14ac:dyDescent="0.3">
      <c r="A7" s="50" t="str">
        <f t="shared" si="0"/>
        <v>Conservador-DESENVOLVIMENTO</v>
      </c>
      <c r="B7" s="51" t="s">
        <v>29</v>
      </c>
      <c r="C7" s="52" t="s">
        <v>25</v>
      </c>
      <c r="D7" s="53">
        <v>0</v>
      </c>
    </row>
    <row r="8" spans="1:8" ht="15" thickBot="1" x14ac:dyDescent="0.35">
      <c r="A8" s="54" t="str">
        <f t="shared" si="0"/>
        <v>Conservador-HOTELARIAS</v>
      </c>
      <c r="B8" s="43" t="s">
        <v>29</v>
      </c>
      <c r="C8" s="44" t="s">
        <v>26</v>
      </c>
      <c r="D8" s="55">
        <v>0</v>
      </c>
    </row>
    <row r="9" spans="1:8" x14ac:dyDescent="0.3">
      <c r="A9" s="50" t="str">
        <f t="shared" si="0"/>
        <v>Moderado-PAPEL</v>
      </c>
      <c r="B9" s="51" t="s">
        <v>16</v>
      </c>
      <c r="C9" s="52" t="s">
        <v>21</v>
      </c>
      <c r="D9" s="53">
        <v>0.32</v>
      </c>
    </row>
    <row r="10" spans="1:8" s="45" customFormat="1" x14ac:dyDescent="0.3">
      <c r="A10" s="56" t="str">
        <f t="shared" si="0"/>
        <v>Moderado-TIJOLO</v>
      </c>
      <c r="B10" s="57" t="s">
        <v>16</v>
      </c>
      <c r="C10" s="58" t="s">
        <v>22</v>
      </c>
      <c r="D10" s="59">
        <v>0.35</v>
      </c>
    </row>
    <row r="11" spans="1:8" x14ac:dyDescent="0.3">
      <c r="A11" s="50" t="str">
        <f t="shared" si="0"/>
        <v>Moderado-HÍBRIDOS</v>
      </c>
      <c r="B11" s="51" t="s">
        <v>16</v>
      </c>
      <c r="C11" s="52" t="s">
        <v>23</v>
      </c>
      <c r="D11" s="53">
        <v>0.08</v>
      </c>
    </row>
    <row r="12" spans="1:8" x14ac:dyDescent="0.3">
      <c r="A12" s="50" t="str">
        <f t="shared" si="0"/>
        <v>Moderado-FOFs</v>
      </c>
      <c r="B12" s="51" t="s">
        <v>16</v>
      </c>
      <c r="C12" s="52" t="s">
        <v>24</v>
      </c>
      <c r="D12" s="53">
        <v>0.05</v>
      </c>
    </row>
    <row r="13" spans="1:8" x14ac:dyDescent="0.3">
      <c r="A13" s="50" t="str">
        <f t="shared" si="0"/>
        <v>Moderado-DESENVOLVIMENTO</v>
      </c>
      <c r="B13" s="51" t="s">
        <v>16</v>
      </c>
      <c r="C13" s="52" t="s">
        <v>25</v>
      </c>
      <c r="D13" s="53">
        <v>0.1</v>
      </c>
    </row>
    <row r="14" spans="1:8" ht="15" thickBot="1" x14ac:dyDescent="0.35">
      <c r="A14" s="54" t="str">
        <f t="shared" si="0"/>
        <v>Moderado-HOTELARIAS</v>
      </c>
      <c r="B14" s="43" t="s">
        <v>16</v>
      </c>
      <c r="C14" s="44" t="s">
        <v>26</v>
      </c>
      <c r="D14" s="55">
        <v>0.1</v>
      </c>
    </row>
    <row r="15" spans="1:8" x14ac:dyDescent="0.3">
      <c r="A15" s="50" t="str">
        <f t="shared" si="0"/>
        <v>Agressivo-PAPEL</v>
      </c>
      <c r="B15" s="51" t="s">
        <v>30</v>
      </c>
      <c r="C15" s="52" t="s">
        <v>21</v>
      </c>
      <c r="D15" s="53">
        <v>0.5</v>
      </c>
    </row>
    <row r="16" spans="1:8" x14ac:dyDescent="0.3">
      <c r="A16" s="50" t="str">
        <f t="shared" si="0"/>
        <v>Agressivo-TIJOLO</v>
      </c>
      <c r="B16" s="51" t="s">
        <v>30</v>
      </c>
      <c r="C16" s="52" t="s">
        <v>22</v>
      </c>
      <c r="D16" s="53">
        <v>0.1</v>
      </c>
    </row>
    <row r="17" spans="1:4" x14ac:dyDescent="0.3">
      <c r="A17" s="50" t="str">
        <f t="shared" si="0"/>
        <v>Agressivo-HÍBRIDOS</v>
      </c>
      <c r="B17" s="51" t="s">
        <v>30</v>
      </c>
      <c r="C17" s="52" t="s">
        <v>23</v>
      </c>
      <c r="D17" s="53">
        <v>0.05</v>
      </c>
    </row>
    <row r="18" spans="1:4" x14ac:dyDescent="0.3">
      <c r="A18" s="50" t="str">
        <f t="shared" si="0"/>
        <v>Agressivo-FOFs</v>
      </c>
      <c r="B18" s="51" t="s">
        <v>30</v>
      </c>
      <c r="C18" s="52" t="s">
        <v>24</v>
      </c>
      <c r="D18" s="53">
        <v>0.05</v>
      </c>
    </row>
    <row r="19" spans="1:4" x14ac:dyDescent="0.3">
      <c r="A19" s="50" t="str">
        <f t="shared" si="0"/>
        <v>Agressivo-DESENVOLVIMENTO</v>
      </c>
      <c r="B19" s="51" t="s">
        <v>30</v>
      </c>
      <c r="C19" s="52" t="s">
        <v>25</v>
      </c>
      <c r="D19" s="53">
        <v>0.2</v>
      </c>
    </row>
    <row r="20" spans="1:4" ht="15" thickBot="1" x14ac:dyDescent="0.35">
      <c r="A20" s="54" t="str">
        <f t="shared" si="0"/>
        <v>Agressivo-HOTELARIAS</v>
      </c>
      <c r="B20" s="43" t="s">
        <v>30</v>
      </c>
      <c r="C20" s="44" t="s">
        <v>26</v>
      </c>
      <c r="D20" s="55">
        <v>0.1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25A7-754A-45BF-88A4-0FDFD423F201}">
  <dimension ref="A2:C20"/>
  <sheetViews>
    <sheetView tabSelected="1" workbookViewId="0">
      <selection activeCell="H23" sqref="H23"/>
    </sheetView>
  </sheetViews>
  <sheetFormatPr defaultRowHeight="14.4" x14ac:dyDescent="0.3"/>
  <sheetData>
    <row r="2" spans="1:2" x14ac:dyDescent="0.3">
      <c r="A2" t="s">
        <v>33</v>
      </c>
    </row>
    <row r="4" spans="1:2" x14ac:dyDescent="0.3">
      <c r="A4" t="s">
        <v>34</v>
      </c>
    </row>
    <row r="5" spans="1:2" x14ac:dyDescent="0.3">
      <c r="A5" t="s">
        <v>35</v>
      </c>
    </row>
    <row r="6" spans="1:2" x14ac:dyDescent="0.3">
      <c r="A6" t="s">
        <v>36</v>
      </c>
    </row>
    <row r="8" spans="1:2" x14ac:dyDescent="0.3">
      <c r="A8" t="s">
        <v>37</v>
      </c>
      <c r="B8" t="s">
        <v>38</v>
      </c>
    </row>
    <row r="9" spans="1:2" x14ac:dyDescent="0.3">
      <c r="A9" t="s">
        <v>39</v>
      </c>
      <c r="B9" t="s">
        <v>40</v>
      </c>
    </row>
    <row r="10" spans="1:2" x14ac:dyDescent="0.3">
      <c r="A10" t="s">
        <v>41</v>
      </c>
      <c r="B10" t="s">
        <v>42</v>
      </c>
    </row>
    <row r="13" spans="1:2" x14ac:dyDescent="0.3">
      <c r="A13" t="s">
        <v>43</v>
      </c>
    </row>
    <row r="15" spans="1:2" x14ac:dyDescent="0.3">
      <c r="A15" t="s">
        <v>44</v>
      </c>
      <c r="B15" t="s">
        <v>46</v>
      </c>
    </row>
    <row r="16" spans="1:2" x14ac:dyDescent="0.3">
      <c r="A16" t="s">
        <v>39</v>
      </c>
      <c r="B16" t="s">
        <v>47</v>
      </c>
    </row>
    <row r="17" spans="1:3" x14ac:dyDescent="0.3">
      <c r="A17" t="s">
        <v>45</v>
      </c>
      <c r="B17" t="s">
        <v>48</v>
      </c>
    </row>
    <row r="19" spans="1:3" x14ac:dyDescent="0.3">
      <c r="A19" t="s">
        <v>49</v>
      </c>
      <c r="C19" t="s">
        <v>50</v>
      </c>
    </row>
    <row r="20" spans="1:3" x14ac:dyDescent="0.3">
      <c r="A20" t="s">
        <v>51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5</vt:i4>
      </vt:variant>
    </vt:vector>
  </HeadingPairs>
  <TitlesOfParts>
    <vt:vector size="8" baseType="lpstr">
      <vt:lpstr>Simulador</vt:lpstr>
      <vt:lpstr>Investidor</vt:lpstr>
      <vt:lpstr>Dados </vt:lpstr>
      <vt:lpstr>aporte</vt:lpstr>
      <vt:lpstr>Aporte_mensal</vt:lpstr>
      <vt:lpstr>Rendimento</vt:lpstr>
      <vt:lpstr>Taxa</vt:lpstr>
      <vt:lpstr>Tempo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Daloz Maranhão</dc:creator>
  <cp:lastModifiedBy>Simone Daloz Maranhão</cp:lastModifiedBy>
  <dcterms:created xsi:type="dcterms:W3CDTF">2026-02-01T22:42:41Z</dcterms:created>
  <dcterms:modified xsi:type="dcterms:W3CDTF">2026-02-02T02:00:34Z</dcterms:modified>
</cp:coreProperties>
</file>